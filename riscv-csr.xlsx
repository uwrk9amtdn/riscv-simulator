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hd\riscv-simulator\"/>
    </mc:Choice>
  </mc:AlternateContent>
  <xr:revisionPtr revIDLastSave="0" documentId="13_ncr:1_{494C8C09-CBCC-446A-A7CB-055F19FD3AD8}" xr6:coauthVersionLast="47" xr6:coauthVersionMax="47" xr10:uidLastSave="{00000000-0000-0000-0000-000000000000}"/>
  <bookViews>
    <workbookView xWindow="-120" yWindow="-120" windowWidth="29040" windowHeight="15720" tabRatio="454" activeTab="1" xr2:uid="{8293AE58-3985-422E-ACBE-0DE584F3F72C}"/>
  </bookViews>
  <sheets>
    <sheet name="CSR Table" sheetId="1" r:id="rId1"/>
    <sheet name="mstatus mstatush sstatus" sheetId="2" r:id="rId2"/>
    <sheet name="mip mie" sheetId="5" r:id="rId3"/>
    <sheet name="mideleg medeleg medelegh" sheetId="6" r:id="rId4"/>
  </sheets>
  <definedNames>
    <definedName name="bin2hex_32">_xlfn.LAMBDA(_xlpm.bin_str,    _xlfn.LET(     _xlpm.padded, RIGHT(REPT("0", 32) &amp; _xlpm.bin_str, 32),     _xlfn.CONCAT(       BIN2HEX(MID(_xlpm.padded, 1, 8), 2),       BIN2HEX(MID(_xlpm.padded, 9, 8), 2),       BIN2HEX(MID(_xlpm.padded, 17, 8), 2),       BIN2HEX(MID(_xlpm.padded, 25, 8), 2)     )  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3" i="2" l="1"/>
  <c r="L3" i="2" s="1" a="1"/>
  <c r="K2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8" i="2"/>
  <c r="K29" i="2"/>
  <c r="K30" i="2"/>
  <c r="K31" i="2"/>
  <c r="K32" i="2"/>
  <c r="K33" i="2"/>
  <c r="K34" i="2"/>
  <c r="L12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<sst xmlns="http://schemas.openxmlformats.org/spreadsheetml/2006/main" count="397" uniqueCount="214">
  <si>
    <t>misa</t>
  </si>
  <si>
    <t>mvendorid</t>
  </si>
  <si>
    <t>marchid</t>
  </si>
  <si>
    <t>mimpid</t>
  </si>
  <si>
    <t>mhartid</t>
  </si>
  <si>
    <t>mstatus</t>
  </si>
  <si>
    <t>mstatush</t>
  </si>
  <si>
    <t>readonly zero</t>
  </si>
  <si>
    <t>implemented</t>
  </si>
  <si>
    <t>CSR</t>
  </si>
  <si>
    <t>Access Type</t>
  </si>
  <si>
    <t>RO</t>
  </si>
  <si>
    <t>Read Side Effects</t>
  </si>
  <si>
    <t>Implementation Status</t>
  </si>
  <si>
    <t>Write Side Effects</t>
  </si>
  <si>
    <t>Priviledge</t>
  </si>
  <si>
    <t>M</t>
  </si>
  <si>
    <t>mtvec</t>
  </si>
  <si>
    <t>mideleg</t>
  </si>
  <si>
    <t>medeleg</t>
  </si>
  <si>
    <t>mip</t>
  </si>
  <si>
    <t>mie</t>
  </si>
  <si>
    <t>RW</t>
  </si>
  <si>
    <t>No</t>
  </si>
  <si>
    <t>Yes</t>
  </si>
  <si>
    <t>N/A</t>
  </si>
  <si>
    <t>SD</t>
  </si>
  <si>
    <t>WPRI</t>
  </si>
  <si>
    <t>SDT</t>
  </si>
  <si>
    <t>SPELP</t>
  </si>
  <si>
    <t>TSR</t>
  </si>
  <si>
    <t>TW</t>
  </si>
  <si>
    <t>TVM</t>
  </si>
  <si>
    <t>MXR</t>
  </si>
  <si>
    <t>SUM</t>
  </si>
  <si>
    <t>MPRV</t>
  </si>
  <si>
    <t>XS</t>
  </si>
  <si>
    <t>FS</t>
  </si>
  <si>
    <t>MPP</t>
  </si>
  <si>
    <t>VS</t>
  </si>
  <si>
    <t>SPP</t>
  </si>
  <si>
    <t>MPIE</t>
  </si>
  <si>
    <t>UBE</t>
  </si>
  <si>
    <t>SPIE</t>
  </si>
  <si>
    <t>MIE</t>
  </si>
  <si>
    <t>SIE</t>
  </si>
  <si>
    <t>30-25</t>
  </si>
  <si>
    <t>16-15</t>
  </si>
  <si>
    <t>14-13</t>
  </si>
  <si>
    <t>12-11</t>
  </si>
  <si>
    <t>Index</t>
  </si>
  <si>
    <t>Name</t>
  </si>
  <si>
    <t>31-11</t>
  </si>
  <si>
    <t>3-0</t>
  </si>
  <si>
    <t>MDT</t>
  </si>
  <si>
    <t>MPELP</t>
  </si>
  <si>
    <t>MPV</t>
  </si>
  <si>
    <t>GVA</t>
  </si>
  <si>
    <t>MBE</t>
  </si>
  <si>
    <t>SBE</t>
  </si>
  <si>
    <t>Supervisor Interrupt Enable</t>
  </si>
  <si>
    <t>Machine Interrupt Enable</t>
  </si>
  <si>
    <t>Supervisor Previous Interrupt Enable</t>
  </si>
  <si>
    <t>Machine Previous Interrupt Enable</t>
  </si>
  <si>
    <t>Long Name</t>
  </si>
  <si>
    <t>Description</t>
  </si>
  <si>
    <t>Notes</t>
  </si>
  <si>
    <t>Implemented</t>
  </si>
  <si>
    <t>User Big Endian</t>
  </si>
  <si>
    <t>Machine Big Endian</t>
  </si>
  <si>
    <t>Supervisor Big Endian</t>
  </si>
  <si>
    <t>Reserved.</t>
  </si>
  <si>
    <t>Reads as zero; writes ignored.</t>
  </si>
  <si>
    <t>Machine Disable Trap</t>
  </si>
  <si>
    <t>WARL</t>
  </si>
  <si>
    <t>Detects unexpected traps while handling an M-mode trap.</t>
  </si>
  <si>
    <t>Machine Previous Expected Landing Pad</t>
  </si>
  <si>
    <t>Saves previous Expected Landing Pad state on a trap to M-mode.</t>
  </si>
  <si>
    <t>Machine Previous Virtualization Mode</t>
  </si>
  <si>
    <t>Records whether virtualization mode was active before a trap to M-mode.</t>
  </si>
  <si>
    <t>Relevant to H extension.</t>
  </si>
  <si>
    <t>Guest Virtual Address</t>
  </si>
  <si>
    <t>Selects endianness for M-mode explicit memory accesses.</t>
  </si>
  <si>
    <t>May be read-only zero for little-endian-only implementations.</t>
  </si>
  <si>
    <t>Selects endianness for S-mode memory accesses and supervisor page-table accesses.</t>
  </si>
  <si>
    <t>State Dirty</t>
  </si>
  <si>
    <t>Indicates whether FS, VS, or XS contains Dirty state.</t>
  </si>
  <si>
    <t>Can be constant zero when those fields are always zero.</t>
  </si>
  <si>
    <t>Supervisor Disable Trap</t>
  </si>
  <si>
    <t>Detects unexpected traps while handling an S-mode trap.</t>
  </si>
  <si>
    <t>Supervisor Previous Expected Landing Pad</t>
  </si>
  <si>
    <t>Saves previous Expected Landing Pad state on a trap to S-mode.</t>
  </si>
  <si>
    <t>Trap SRET</t>
  </si>
  <si>
    <t>Used to intercept supervisor trap returns.</t>
  </si>
  <si>
    <t>Timeout Wait</t>
  </si>
  <si>
    <t>Trap Virtual Memory</t>
  </si>
  <si>
    <t>Allows M-mode to intercept S-mode virtual-memory management.</t>
  </si>
  <si>
    <t>Make Executable Readable</t>
  </si>
  <si>
    <t>Allows loads from pages with X=1 even when R=0.</t>
  </si>
  <si>
    <t>Only relevant when page-based virtual memory is active.</t>
  </si>
  <si>
    <t>Supervisor User Memory access</t>
  </si>
  <si>
    <t>Allows S-mode loads/stores to pages marked U=1.</t>
  </si>
  <si>
    <t>Does not permit S-mode instruction fetches from U pages.</t>
  </si>
  <si>
    <t>Modify Privilege</t>
  </si>
  <si>
    <t>Makes M-mode data accesses use the privilege specified by MPP.</t>
  </si>
  <si>
    <t>Does not affect instruction fetches.</t>
  </si>
  <si>
    <t>Extension State</t>
  </si>
  <si>
    <t>Summarizes state of additional user-mode extensions.</t>
  </si>
  <si>
    <t>Read-only zero when no such extensions exist.</t>
  </si>
  <si>
    <t>Floating-Point State</t>
  </si>
  <si>
    <t>Tracks floating-point state: Off, Initial, Clean, or Dirty.</t>
  </si>
  <si>
    <t>May be read-only zero without F extension.</t>
  </si>
  <si>
    <t>Machine Previous Privilege</t>
  </si>
  <si>
    <t>Records privilege mode before a trap to M-mode.</t>
  </si>
  <si>
    <t>Vector State</t>
  </si>
  <si>
    <t>Tracks vector state: Off, Initial, Clean, or Dirty.</t>
  </si>
  <si>
    <t>May be read-only zero without V extension.</t>
  </si>
  <si>
    <t>Supervisor Previous Privilege</t>
  </si>
  <si>
    <t>Records whether execution was in U or S mode before a trap to S-mode.</t>
  </si>
  <si>
    <t>Stores previous MIE value when taking an M-mode trap.</t>
  </si>
  <si>
    <t>Selects endianness for U-mode explicit loads and stores.</t>
  </si>
  <si>
    <t>Stores previous SIE value when taking an S-mode trap.</t>
  </si>
  <si>
    <t>Global interrupt-enable bit for M-mode.</t>
  </si>
  <si>
    <t>Global interrupt-enable bit for S-mode.</t>
  </si>
  <si>
    <t>Defined by Smdbltrp. Reset value is 1 when extension is implemented.</t>
  </si>
  <si>
    <t>Defined by Zicfilp.</t>
  </si>
  <si>
    <t>Indicates that mtval contains a guest virtual address.</t>
  </si>
  <si>
    <t>Defined by Ssdbltrp.</t>
  </si>
  <si>
    <t>When 1, executing SRET in S-mode raises an illegal-instruction exception.</t>
  </si>
  <si>
    <t>Controls whether WFI executed below M-mode may be forced to trap after a bounded time.</t>
  </si>
  <si>
    <t>Useful for virtualizing/intercepting WFI.</t>
  </si>
  <si>
    <t>When 1, S-mode accesses to satp and execution of SFENCE.VMA/SINVAL.VMA trap.</t>
  </si>
  <si>
    <t>Used by MRET.</t>
  </si>
  <si>
    <t>0=U, 1=S. Used by SRET.</t>
  </si>
  <si>
    <t>Restored into MIE by MRET.</t>
  </si>
  <si>
    <t>Restored into SIE by SRET.</t>
  </si>
  <si>
    <t>Cleared on trap to M-mode and restored from MPIE by MRET.</t>
  </si>
  <si>
    <t>Cleared on trap to S-mode and restored from SPIE by SRET.</t>
  </si>
  <si>
    <t>10-9</t>
  </si>
  <si>
    <t>-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</si>
  <si>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</si>
  <si>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</si>
  <si>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</si>
  <si>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</si>
  <si>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</si>
  <si>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</si>
  <si>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</si>
  <si>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</si>
  <si>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</si>
  <si>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</si>
  <si>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</si>
  <si>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</si>
  <si>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</si>
  <si>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</si>
  <si>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31-14</t>
  </si>
  <si>
    <t>LCOFI{P,E}</t>
  </si>
  <si>
    <t>Local Counter Overflow Interrupt {Pending, Enable}</t>
  </si>
  <si>
    <t>MEI{P,E}</t>
  </si>
  <si>
    <t>SEI{P,E}</t>
  </si>
  <si>
    <t>MTI{P,E}</t>
  </si>
  <si>
    <t>STI{P,E}</t>
  </si>
  <si>
    <t>MSI{P,E}</t>
  </si>
  <si>
    <t>SSI{P,E}</t>
  </si>
  <si>
    <t>Machine External Interrupt {Pending, Enable}</t>
  </si>
  <si>
    <t>Supervisor External Interrupt {Pending, Enable}</t>
  </si>
  <si>
    <t>Machine Timer Interrupt {Pending, Enable}</t>
  </si>
  <si>
    <t>Supervisor Timer Interrupt {Pending, Enable}</t>
  </si>
  <si>
    <t>Machine Software Interrupt {Pending, Enable}</t>
  </si>
  <si>
    <t>Supervisor Software Interrupt {Pending, Enable}</t>
  </si>
  <si>
    <t>local counter-overflow interrupts</t>
  </si>
  <si>
    <t>machine external interrupts</t>
  </si>
  <si>
    <t>supervisor external interrupts</t>
  </si>
  <si>
    <t>machine timer interrupts</t>
  </si>
  <si>
    <t>supervisor timer interrupts</t>
  </si>
  <si>
    <t>machine software interrupts</t>
  </si>
  <si>
    <t>supervisor software interrupts</t>
  </si>
  <si>
    <t>15-14</t>
  </si>
  <si>
    <t>31-16</t>
  </si>
  <si>
    <t>Reserved</t>
  </si>
  <si>
    <t>Custom Use</t>
  </si>
  <si>
    <t>Supervisor Software Interrupt</t>
  </si>
  <si>
    <t>Machine Software Interrupt</t>
  </si>
  <si>
    <t>Supervisor Timer Interrupt</t>
  </si>
  <si>
    <t>Machine Timer Interrupt</t>
  </si>
  <si>
    <t>Supervisor External Interrupt</t>
  </si>
  <si>
    <t>Machine External Interrupt</t>
  </si>
  <si>
    <t>Counter Overflow Interrupt</t>
  </si>
  <si>
    <t>15-0</t>
  </si>
  <si>
    <t>31-24</t>
  </si>
  <si>
    <t>23-20</t>
  </si>
  <si>
    <t>Hardware Error</t>
  </si>
  <si>
    <t>Software Check</t>
  </si>
  <si>
    <t>Double Trap</t>
  </si>
  <si>
    <t>Store/AMO page fault</t>
  </si>
  <si>
    <t>Load Page Fault</t>
  </si>
  <si>
    <t>Instruction page fault</t>
  </si>
  <si>
    <t>Environment call from m-mode</t>
  </si>
  <si>
    <t>Environment call from s-mode</t>
  </si>
  <si>
    <t>Environment call from u-mode</t>
  </si>
  <si>
    <t>Store/AMO access fault</t>
  </si>
  <si>
    <t>Instruction address misaligned</t>
  </si>
  <si>
    <t>Instruction access fault</t>
  </si>
  <si>
    <t>Illegal instruction</t>
  </si>
  <si>
    <t>Breakpoint</t>
  </si>
  <si>
    <t>Load Address Misaligned</t>
  </si>
  <si>
    <t>Load Access Fault</t>
  </si>
  <si>
    <t>Store/AMO address misaligned</t>
  </si>
  <si>
    <t>medelegh</t>
  </si>
  <si>
    <t>Writeable</t>
  </si>
  <si>
    <t>Default Value</t>
  </si>
  <si>
    <t>In sstatus</t>
  </si>
  <si>
    <t>Implementation Mask</t>
  </si>
  <si>
    <t>Size</t>
  </si>
  <si>
    <t>Implementation Mask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</si>
</sst>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Georgia Pro Cond"/>
      <family val="1"/>
    </font>
    <font>
      <sz val="8"/>
      <name val="Aptos Narrow"/>
      <family val="2"/>
      <scheme val="minor"/>
    </font>
    <font>
      <sz val="11"/>
      <color theme="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6F3B-0C50-4B47-91D8-3D40D27DBEFE}">
  <dimension ref="D5:I17"/>
  <sheetViews>
    <sheetView zoomScale="85" zoomScaleNormal="85" workbookViewId="0">
      <selection activeCell="Q18" sqref="Q18"/>
    </sheetView>
  </sheetViews>
  <sheetFormatPr defaultRowHeight="17.25" customHeight="1" x14ac:dyDescent="0.25"/>
  <cols>
    <col min="1" max="3" width="9.140625" style="2"/>
    <col min="4" max="4" width="13.85546875" style="2" customWidth="1"/>
    <col min="5" max="5" width="11.7109375" style="2" bestFit="1" customWidth="1"/>
    <col min="6" max="6" width="10.140625" style="2" bestFit="1" customWidth="1"/>
    <col min="7" max="7" width="16.5703125" style="2" bestFit="1" customWidth="1"/>
    <col min="8" max="8" width="17.28515625" style="2" bestFit="1" customWidth="1"/>
    <col min="9" max="9" width="21.7109375" style="2" bestFit="1" customWidth="1"/>
    <col min="10" max="16384" width="9.140625" style="2"/>
  </cols>
  <sheetData>
    <row r="5" spans="4:9" ht="34.5" customHeight="1" x14ac:dyDescent="0.25">
      <c r="D5" s="1" t="s">
        <v>9</v>
      </c>
      <c r="E5" s="1" t="s">
        <v>10</v>
      </c>
      <c r="F5" s="1" t="s">
        <v>15</v>
      </c>
      <c r="G5" s="1" t="s">
        <v>12</v>
      </c>
      <c r="H5" s="1" t="s">
        <v>14</v>
      </c>
      <c r="I5" s="1" t="s">
        <v>13</v>
      </c>
    </row>
    <row r="6" spans="4:9" ht="17.25" customHeight="1" x14ac:dyDescent="0.25">
      <c r="D6" s="3" t="s">
        <v>0</v>
      </c>
      <c r="E6" s="3" t="s">
        <v>22</v>
      </c>
      <c r="F6" s="3" t="s">
        <v>16</v>
      </c>
      <c r="G6" s="3" t="s">
        <v>23</v>
      </c>
      <c r="H6" s="3" t="s">
        <v>24</v>
      </c>
      <c r="I6" s="3" t="s">
        <v>7</v>
      </c>
    </row>
    <row r="7" spans="4:9" ht="17.25" customHeight="1" x14ac:dyDescent="0.25">
      <c r="D7" s="3" t="s">
        <v>1</v>
      </c>
      <c r="E7" s="3" t="s">
        <v>11</v>
      </c>
      <c r="F7" s="3" t="s">
        <v>16</v>
      </c>
      <c r="G7" s="3" t="s">
        <v>23</v>
      </c>
      <c r="H7" s="3" t="s">
        <v>25</v>
      </c>
      <c r="I7" s="3" t="s">
        <v>7</v>
      </c>
    </row>
    <row r="8" spans="4:9" ht="17.25" customHeight="1" x14ac:dyDescent="0.25">
      <c r="D8" s="3" t="s">
        <v>2</v>
      </c>
      <c r="E8" s="3" t="s">
        <v>11</v>
      </c>
      <c r="F8" s="3" t="s">
        <v>16</v>
      </c>
      <c r="G8" s="3" t="s">
        <v>23</v>
      </c>
      <c r="H8" s="3" t="s">
        <v>25</v>
      </c>
      <c r="I8" s="3" t="s">
        <v>7</v>
      </c>
    </row>
    <row r="9" spans="4:9" ht="17.25" customHeight="1" x14ac:dyDescent="0.25">
      <c r="D9" s="3" t="s">
        <v>3</v>
      </c>
      <c r="E9" s="3" t="s">
        <v>11</v>
      </c>
      <c r="F9" s="3" t="s">
        <v>16</v>
      </c>
      <c r="G9" s="3" t="s">
        <v>23</v>
      </c>
      <c r="H9" s="3" t="s">
        <v>25</v>
      </c>
      <c r="I9" s="3" t="s">
        <v>7</v>
      </c>
    </row>
    <row r="10" spans="4:9" ht="17.25" customHeight="1" x14ac:dyDescent="0.25">
      <c r="D10" s="4" t="s">
        <v>4</v>
      </c>
      <c r="E10" s="4" t="s">
        <v>11</v>
      </c>
      <c r="F10" s="4" t="s">
        <v>16</v>
      </c>
      <c r="G10" s="4" t="s">
        <v>23</v>
      </c>
      <c r="H10" s="4" t="s">
        <v>25</v>
      </c>
      <c r="I10" s="4" t="s">
        <v>8</v>
      </c>
    </row>
    <row r="11" spans="4:9" ht="17.25" customHeight="1" x14ac:dyDescent="0.25">
      <c r="D11" s="1" t="s">
        <v>5</v>
      </c>
      <c r="E11" s="1" t="s">
        <v>22</v>
      </c>
      <c r="F11" s="1" t="s">
        <v>16</v>
      </c>
      <c r="G11" s="1"/>
      <c r="H11" s="1"/>
      <c r="I11" s="1"/>
    </row>
    <row r="12" spans="4:9" ht="17.25" customHeight="1" x14ac:dyDescent="0.25">
      <c r="D12" s="1" t="s">
        <v>6</v>
      </c>
      <c r="E12" s="1" t="s">
        <v>22</v>
      </c>
      <c r="F12" s="1" t="s">
        <v>16</v>
      </c>
      <c r="G12" s="1"/>
      <c r="H12" s="1"/>
      <c r="I12" s="1"/>
    </row>
    <row r="13" spans="4:9" ht="17.25" customHeight="1" x14ac:dyDescent="0.25">
      <c r="D13" s="1" t="s">
        <v>17</v>
      </c>
      <c r="E13" s="1"/>
      <c r="F13" s="1" t="s">
        <v>16</v>
      </c>
      <c r="G13" s="1"/>
      <c r="H13" s="1"/>
      <c r="I13" s="1"/>
    </row>
    <row r="14" spans="4:9" ht="17.25" customHeight="1" x14ac:dyDescent="0.25">
      <c r="D14" s="1" t="s">
        <v>19</v>
      </c>
      <c r="E14" s="1"/>
      <c r="F14" s="1" t="s">
        <v>16</v>
      </c>
      <c r="G14" s="1"/>
      <c r="H14" s="1"/>
      <c r="I14" s="1"/>
    </row>
    <row r="15" spans="4:9" ht="17.25" customHeight="1" x14ac:dyDescent="0.25">
      <c r="D15" s="1" t="s">
        <v>18</v>
      </c>
      <c r="E15" s="1"/>
      <c r="F15" s="1" t="s">
        <v>16</v>
      </c>
      <c r="G15" s="1"/>
      <c r="H15" s="1"/>
      <c r="I15" s="1"/>
    </row>
    <row r="16" spans="4:9" ht="17.25" customHeight="1" x14ac:dyDescent="0.25">
      <c r="D16" s="1" t="s">
        <v>20</v>
      </c>
      <c r="E16" s="1"/>
      <c r="F16" s="1" t="s">
        <v>16</v>
      </c>
      <c r="G16" s="1"/>
      <c r="H16" s="1"/>
      <c r="I16" s="1"/>
    </row>
    <row r="17" spans="4:9" ht="17.25" customHeight="1" x14ac:dyDescent="0.25">
      <c r="D17" s="1" t="s">
        <v>21</v>
      </c>
      <c r="E17" s="1"/>
      <c r="F17" s="1" t="s">
        <v>16</v>
      </c>
      <c r="G17" s="1"/>
      <c r="H17" s="1"/>
      <c r="I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37D6-208E-490B-BE10-76292AE97411}">
  <dimension ref="A1:O53"/>
  <sheetViews>
    <sheetView tabSelected="1" zoomScale="85" zoomScaleNormal="85" workbookViewId="0">
      <selection activeCell="H43" sqref="H43"/>
    </sheetView>
  </sheetViews>
  <sheetFormatPr defaultColWidth="6.85546875" defaultRowHeight="14.25" x14ac:dyDescent="0.25"/>
  <cols>
    <col min="1" max="1" width="9.140625" style="6" bestFit="1" customWidth="1"/>
    <col min="2" max="2" width="7.5703125" style="6" bestFit="1" customWidth="1"/>
    <col min="3" max="3" width="6.42578125" style="6" customWidth="1"/>
    <col min="4" max="4" width="7.85546875" style="6" bestFit="1" customWidth="1"/>
    <col min="5" max="5" width="39.42578125" style="6" bestFit="1" customWidth="1"/>
    <col min="6" max="6" width="11.7109375" style="6" bestFit="1" customWidth="1"/>
    <col min="7" max="7" width="83" style="6" bestFit="1" customWidth="1"/>
    <col min="8" max="8" width="64.42578125" style="6" bestFit="1" customWidth="1"/>
    <col min="9" max="9" width="13.140625" style="6" bestFit="1" customWidth="1"/>
    <col min="10" max="10" width="11.42578125" style="6" customWidth="1"/>
    <col min="11" max="11" width="25.5703125" style="6" bestFit="1" customWidth="1"/>
    <col min="12" max="12" width="25.5703125" style="6" customWidth="1"/>
    <col min="13" max="13" width="6.85546875" style="6"/>
    <col min="14" max="14" width="13.140625" style="6" bestFit="1" customWidth="1"/>
    <col min="15" max="15" width="38.5703125" style="6" bestFit="1" customWidth="1"/>
    <col min="16" max="16384" width="6.85546875" style="6"/>
  </cols>
  <sheetData>
    <row r="1" spans="1:15" x14ac:dyDescent="0.25">
      <c r="N1" s="23"/>
    </row>
    <row r="2" spans="1:15" ht="39" customHeight="1" x14ac:dyDescent="0.25">
      <c r="A2" s="5" t="s">
        <v>9</v>
      </c>
      <c r="B2" s="5" t="s">
        <v>50</v>
      </c>
      <c r="C2" s="5" t="s">
        <v>212</v>
      </c>
      <c r="D2" s="5" t="s">
        <v>51</v>
      </c>
      <c r="E2" s="5" t="s">
        <v>64</v>
      </c>
      <c r="F2" s="5" t="s">
        <v>10</v>
      </c>
      <c r="G2" s="5" t="s">
        <v>65</v>
      </c>
      <c r="H2" s="5" t="s">
        <v>66</v>
      </c>
      <c r="I2" s="5" t="s">
        <v>67</v>
      </c>
      <c r="J2" s="5" t="s">
        <v>210</v>
      </c>
      <c r="K2" s="21" t="s">
        <v>211</v>
      </c>
      <c r="L2" s="21" t="s">
        <v>213</v>
      </c>
    </row>
    <row r="3" spans="1:15" x14ac:dyDescent="0.25">
      <c r="A3" s="13" t="s">
        <v>6</v>
      </c>
      <c r="B3" s="5" t="s">
        <v>52</v>
      </c>
      <c r="C3" s="22">
        <v>21</v>
      </c>
      <c r="D3" s="5"/>
      <c r="E3" s="5"/>
      <c r="F3" s="5" t="s">
        <v>27</v>
      </c>
      <c r="G3" s="5" t="s">
        <v>71</v>
      </c>
      <c r="H3" s="5" t="s">
        <v>72</v>
      </c>
      <c r="I3" s="5" t="s">
        <v>139</v>
      </c>
      <c r="J3" s="9"/>
      <c r="K3" s="22" t="str">
        <f>REPT(IF(I3="Yes",1,0),C3)</f>
        <v>000000000000000000000</v>
      </c>
      <c r="L3" s="24" t="str" cm="1">
        <f t="array" ref="L3">bin2hex_32(_xlfn.CONCAT(K3:K11))</f>
        <v>00000000</v>
      </c>
    </row>
    <row r="4" spans="1:15" x14ac:dyDescent="0.25">
      <c r="A4" s="14"/>
      <c r="B4" s="5">
        <v>10</v>
      </c>
      <c r="C4" s="22">
        <v>1</v>
      </c>
      <c r="D4" s="5" t="s">
        <v>54</v>
      </c>
      <c r="E4" s="5" t="s">
        <v>73</v>
      </c>
      <c r="F4" s="5" t="s">
        <v>74</v>
      </c>
      <c r="G4" s="5" t="s">
        <v>75</v>
      </c>
      <c r="H4" s="5" t="s">
        <v>124</v>
      </c>
      <c r="I4" s="5" t="s">
        <v>23</v>
      </c>
      <c r="J4" s="9"/>
      <c r="K4" s="22" t="str">
        <f t="shared" ref="K4:K34" si="0">REPT(IF(I4="Yes",1,0),C4)</f>
        <v>0</v>
      </c>
      <c r="L4" s="24"/>
    </row>
    <row r="5" spans="1:15" x14ac:dyDescent="0.25">
      <c r="A5" s="14"/>
      <c r="B5" s="5">
        <v>9</v>
      </c>
      <c r="C5" s="22">
        <v>1</v>
      </c>
      <c r="D5" s="5" t="s">
        <v>55</v>
      </c>
      <c r="E5" s="5" t="s">
        <v>76</v>
      </c>
      <c r="F5" s="5" t="s">
        <v>74</v>
      </c>
      <c r="G5" s="5" t="s">
        <v>77</v>
      </c>
      <c r="H5" s="5" t="s">
        <v>125</v>
      </c>
      <c r="I5" s="5" t="s">
        <v>23</v>
      </c>
      <c r="J5" s="9"/>
      <c r="K5" s="22" t="str">
        <f t="shared" si="0"/>
        <v>0</v>
      </c>
      <c r="L5" s="24"/>
    </row>
    <row r="6" spans="1:15" x14ac:dyDescent="0.25">
      <c r="A6" s="14"/>
      <c r="B6" s="5">
        <v>8</v>
      </c>
      <c r="C6" s="22">
        <v>1</v>
      </c>
      <c r="D6" s="5"/>
      <c r="E6" s="5"/>
      <c r="F6" s="5" t="s">
        <v>27</v>
      </c>
      <c r="G6" s="5" t="s">
        <v>71</v>
      </c>
      <c r="H6" s="5" t="s">
        <v>72</v>
      </c>
      <c r="I6" s="5" t="s">
        <v>139</v>
      </c>
      <c r="J6" s="9"/>
      <c r="K6" s="22" t="str">
        <f t="shared" si="0"/>
        <v>0</v>
      </c>
      <c r="L6" s="24"/>
    </row>
    <row r="7" spans="1:15" x14ac:dyDescent="0.25">
      <c r="A7" s="14"/>
      <c r="B7" s="5">
        <v>7</v>
      </c>
      <c r="C7" s="22">
        <v>1</v>
      </c>
      <c r="D7" s="5" t="s">
        <v>56</v>
      </c>
      <c r="E7" s="5" t="s">
        <v>78</v>
      </c>
      <c r="F7" s="5" t="s">
        <v>74</v>
      </c>
      <c r="G7" s="5" t="s">
        <v>79</v>
      </c>
      <c r="H7" s="5" t="s">
        <v>80</v>
      </c>
      <c r="I7" s="5" t="s">
        <v>23</v>
      </c>
      <c r="J7" s="9"/>
      <c r="K7" s="22" t="str">
        <f t="shared" si="0"/>
        <v>0</v>
      </c>
      <c r="L7" s="24"/>
    </row>
    <row r="8" spans="1:15" x14ac:dyDescent="0.25">
      <c r="A8" s="14"/>
      <c r="B8" s="5">
        <v>6</v>
      </c>
      <c r="C8" s="22">
        <v>1</v>
      </c>
      <c r="D8" s="5" t="s">
        <v>57</v>
      </c>
      <c r="E8" s="5" t="s">
        <v>81</v>
      </c>
      <c r="F8" s="5" t="s">
        <v>22</v>
      </c>
      <c r="G8" s="5" t="s">
        <v>126</v>
      </c>
      <c r="H8" s="5" t="s">
        <v>80</v>
      </c>
      <c r="I8" s="5" t="s">
        <v>23</v>
      </c>
      <c r="J8" s="9"/>
      <c r="K8" s="22" t="str">
        <f t="shared" si="0"/>
        <v>0</v>
      </c>
      <c r="L8" s="24"/>
    </row>
    <row r="9" spans="1:15" x14ac:dyDescent="0.25">
      <c r="A9" s="14"/>
      <c r="B9" s="5">
        <v>5</v>
      </c>
      <c r="C9" s="22">
        <v>1</v>
      </c>
      <c r="D9" s="5" t="s">
        <v>58</v>
      </c>
      <c r="E9" s="5" t="s">
        <v>69</v>
      </c>
      <c r="F9" s="5" t="s">
        <v>74</v>
      </c>
      <c r="G9" s="5" t="s">
        <v>82</v>
      </c>
      <c r="H9" s="5" t="s">
        <v>83</v>
      </c>
      <c r="I9" s="5" t="s">
        <v>23</v>
      </c>
      <c r="J9" s="9"/>
      <c r="K9" s="22" t="str">
        <f t="shared" si="0"/>
        <v>0</v>
      </c>
      <c r="L9" s="24"/>
      <c r="O9" s="23"/>
    </row>
    <row r="10" spans="1:15" x14ac:dyDescent="0.25">
      <c r="A10" s="14"/>
      <c r="B10" s="5">
        <v>4</v>
      </c>
      <c r="C10" s="22">
        <v>1</v>
      </c>
      <c r="D10" s="5" t="s">
        <v>59</v>
      </c>
      <c r="E10" s="5" t="s">
        <v>70</v>
      </c>
      <c r="F10" s="5" t="s">
        <v>74</v>
      </c>
      <c r="G10" s="5" t="s">
        <v>84</v>
      </c>
      <c r="H10" s="5" t="s">
        <v>83</v>
      </c>
      <c r="I10" s="5" t="s">
        <v>23</v>
      </c>
      <c r="J10" s="9"/>
      <c r="K10" s="22" t="str">
        <f t="shared" si="0"/>
        <v>0</v>
      </c>
      <c r="L10" s="24"/>
    </row>
    <row r="11" spans="1:15" ht="15" x14ac:dyDescent="0.25">
      <c r="A11" s="15"/>
      <c r="B11" s="5" t="s">
        <v>53</v>
      </c>
      <c r="C11" s="22">
        <v>4</v>
      </c>
      <c r="D11" s="5"/>
      <c r="E11" s="5"/>
      <c r="F11" s="5" t="s">
        <v>27</v>
      </c>
      <c r="G11" s="5" t="s">
        <v>71</v>
      </c>
      <c r="H11" s="5" t="s">
        <v>72</v>
      </c>
      <c r="I11" s="5" t="s">
        <v>139</v>
      </c>
      <c r="J11" s="9"/>
      <c r="K11" s="22" t="str">
        <f t="shared" si="0"/>
        <v>0000</v>
      </c>
      <c r="L11" s="24"/>
      <c r="O11" s="25"/>
    </row>
    <row r="12" spans="1:15" x14ac:dyDescent="0.25">
      <c r="A12" s="16" t="s">
        <v>5</v>
      </c>
      <c r="B12" s="5">
        <v>31</v>
      </c>
      <c r="C12" s="22">
        <v>1</v>
      </c>
      <c r="D12" s="5" t="s">
        <v>26</v>
      </c>
      <c r="E12" s="5" t="s">
        <v>85</v>
      </c>
      <c r="F12" s="5" t="s">
        <v>11</v>
      </c>
      <c r="G12" s="5" t="s">
        <v>86</v>
      </c>
      <c r="H12" s="5" t="s">
        <v>87</v>
      </c>
      <c r="I12" s="5" t="s">
        <v>23</v>
      </c>
      <c r="J12" s="11" t="s">
        <v>24</v>
      </c>
      <c r="K12" s="22" t="str">
        <f t="shared" si="0"/>
        <v>0</v>
      </c>
      <c r="L12" s="24" t="str" cm="1">
        <f t="array" ref="L12">bin2hex_32(_xlfn.CONCAT(K12:K34))</f>
        <v>007E19AA</v>
      </c>
    </row>
    <row r="13" spans="1:15" x14ac:dyDescent="0.25">
      <c r="A13" s="16"/>
      <c r="B13" s="5" t="s">
        <v>46</v>
      </c>
      <c r="C13" s="22">
        <v>6</v>
      </c>
      <c r="D13" s="5"/>
      <c r="E13" s="5"/>
      <c r="F13" s="5" t="s">
        <v>27</v>
      </c>
      <c r="G13" s="5" t="s">
        <v>71</v>
      </c>
      <c r="H13" s="5" t="s">
        <v>72</v>
      </c>
      <c r="I13" s="5" t="s">
        <v>139</v>
      </c>
      <c r="J13" s="9"/>
      <c r="K13" s="22" t="str">
        <f t="shared" si="0"/>
        <v>000000</v>
      </c>
      <c r="L13" s="24"/>
    </row>
    <row r="14" spans="1:15" x14ac:dyDescent="0.25">
      <c r="A14" s="16"/>
      <c r="B14" s="5">
        <v>24</v>
      </c>
      <c r="C14" s="22">
        <v>1</v>
      </c>
      <c r="D14" s="5" t="s">
        <v>28</v>
      </c>
      <c r="E14" s="5" t="s">
        <v>88</v>
      </c>
      <c r="F14" s="5" t="s">
        <v>74</v>
      </c>
      <c r="G14" s="5" t="s">
        <v>89</v>
      </c>
      <c r="H14" s="5" t="s">
        <v>127</v>
      </c>
      <c r="I14" s="5" t="s">
        <v>23</v>
      </c>
      <c r="J14" s="11" t="s">
        <v>24</v>
      </c>
      <c r="K14" s="22" t="str">
        <f t="shared" si="0"/>
        <v>0</v>
      </c>
      <c r="L14" s="24"/>
    </row>
    <row r="15" spans="1:15" x14ac:dyDescent="0.25">
      <c r="A15" s="16"/>
      <c r="B15" s="5">
        <v>23</v>
      </c>
      <c r="C15" s="22">
        <v>1</v>
      </c>
      <c r="D15" s="5" t="s">
        <v>29</v>
      </c>
      <c r="E15" s="5" t="s">
        <v>90</v>
      </c>
      <c r="F15" s="5" t="s">
        <v>74</v>
      </c>
      <c r="G15" s="5" t="s">
        <v>91</v>
      </c>
      <c r="H15" s="5" t="s">
        <v>125</v>
      </c>
      <c r="I15" s="5" t="s">
        <v>23</v>
      </c>
      <c r="J15" s="11" t="s">
        <v>24</v>
      </c>
      <c r="K15" s="22" t="str">
        <f t="shared" si="0"/>
        <v>0</v>
      </c>
      <c r="L15" s="24"/>
    </row>
    <row r="16" spans="1:15" x14ac:dyDescent="0.25">
      <c r="A16" s="16"/>
      <c r="B16" s="5">
        <v>22</v>
      </c>
      <c r="C16" s="22">
        <v>1</v>
      </c>
      <c r="D16" s="5" t="s">
        <v>30</v>
      </c>
      <c r="E16" s="5" t="s">
        <v>92</v>
      </c>
      <c r="F16" s="5" t="s">
        <v>74</v>
      </c>
      <c r="G16" s="5" t="s">
        <v>128</v>
      </c>
      <c r="H16" s="5" t="s">
        <v>93</v>
      </c>
      <c r="I16" s="5" t="s">
        <v>24</v>
      </c>
      <c r="J16" s="11" t="s">
        <v>23</v>
      </c>
      <c r="K16" s="22" t="str">
        <f t="shared" si="0"/>
        <v>1</v>
      </c>
      <c r="L16" s="24"/>
    </row>
    <row r="17" spans="1:14" x14ac:dyDescent="0.25">
      <c r="A17" s="16"/>
      <c r="B17" s="5">
        <v>21</v>
      </c>
      <c r="C17" s="22">
        <v>1</v>
      </c>
      <c r="D17" s="5" t="s">
        <v>31</v>
      </c>
      <c r="E17" s="5" t="s">
        <v>94</v>
      </c>
      <c r="F17" s="5" t="s">
        <v>74</v>
      </c>
      <c r="G17" s="5" t="s">
        <v>129</v>
      </c>
      <c r="H17" s="5" t="s">
        <v>130</v>
      </c>
      <c r="I17" s="5" t="s">
        <v>24</v>
      </c>
      <c r="J17" s="11" t="s">
        <v>23</v>
      </c>
      <c r="K17" s="22" t="str">
        <f t="shared" si="0"/>
        <v>1</v>
      </c>
      <c r="L17" s="24"/>
      <c r="N17" s="23"/>
    </row>
    <row r="18" spans="1:14" x14ac:dyDescent="0.25">
      <c r="A18" s="16"/>
      <c r="B18" s="5">
        <v>20</v>
      </c>
      <c r="C18" s="22">
        <v>1</v>
      </c>
      <c r="D18" s="5" t="s">
        <v>32</v>
      </c>
      <c r="E18" s="5" t="s">
        <v>95</v>
      </c>
      <c r="F18" s="5" t="s">
        <v>74</v>
      </c>
      <c r="G18" s="5" t="s">
        <v>131</v>
      </c>
      <c r="H18" s="5" t="s">
        <v>96</v>
      </c>
      <c r="I18" s="5" t="s">
        <v>24</v>
      </c>
      <c r="J18" s="11" t="s">
        <v>23</v>
      </c>
      <c r="K18" s="22" t="str">
        <f t="shared" si="0"/>
        <v>1</v>
      </c>
      <c r="L18" s="24"/>
    </row>
    <row r="19" spans="1:14" x14ac:dyDescent="0.25">
      <c r="A19" s="16"/>
      <c r="B19" s="5">
        <v>19</v>
      </c>
      <c r="C19" s="22">
        <v>1</v>
      </c>
      <c r="D19" s="5" t="s">
        <v>33</v>
      </c>
      <c r="E19" s="5" t="s">
        <v>97</v>
      </c>
      <c r="F19" s="5" t="s">
        <v>22</v>
      </c>
      <c r="G19" s="5" t="s">
        <v>98</v>
      </c>
      <c r="H19" s="5" t="s">
        <v>99</v>
      </c>
      <c r="I19" s="5" t="s">
        <v>24</v>
      </c>
      <c r="J19" s="10" t="s">
        <v>24</v>
      </c>
      <c r="K19" s="22" t="str">
        <f t="shared" si="0"/>
        <v>1</v>
      </c>
      <c r="L19" s="24"/>
    </row>
    <row r="20" spans="1:14" x14ac:dyDescent="0.25">
      <c r="A20" s="16"/>
      <c r="B20" s="5">
        <v>18</v>
      </c>
      <c r="C20" s="22">
        <v>1</v>
      </c>
      <c r="D20" s="5" t="s">
        <v>34</v>
      </c>
      <c r="E20" s="5" t="s">
        <v>100</v>
      </c>
      <c r="F20" s="5" t="s">
        <v>22</v>
      </c>
      <c r="G20" s="5" t="s">
        <v>101</v>
      </c>
      <c r="H20" s="5" t="s">
        <v>102</v>
      </c>
      <c r="I20" s="5" t="s">
        <v>24</v>
      </c>
      <c r="J20" s="10" t="s">
        <v>24</v>
      </c>
      <c r="K20" s="22" t="str">
        <f t="shared" si="0"/>
        <v>1</v>
      </c>
      <c r="L20" s="24"/>
    </row>
    <row r="21" spans="1:14" x14ac:dyDescent="0.25">
      <c r="A21" s="16"/>
      <c r="B21" s="5">
        <v>17</v>
      </c>
      <c r="C21" s="22">
        <v>1</v>
      </c>
      <c r="D21" s="5" t="s">
        <v>35</v>
      </c>
      <c r="E21" s="5" t="s">
        <v>103</v>
      </c>
      <c r="F21" s="5" t="s">
        <v>22</v>
      </c>
      <c r="G21" s="5" t="s">
        <v>104</v>
      </c>
      <c r="H21" s="5" t="s">
        <v>105</v>
      </c>
      <c r="I21" s="5" t="s">
        <v>24</v>
      </c>
      <c r="J21" s="11" t="s">
        <v>23</v>
      </c>
      <c r="K21" s="22" t="str">
        <f t="shared" si="0"/>
        <v>1</v>
      </c>
      <c r="L21" s="24"/>
    </row>
    <row r="22" spans="1:14" x14ac:dyDescent="0.25">
      <c r="A22" s="16"/>
      <c r="B22" s="5" t="s">
        <v>47</v>
      </c>
      <c r="C22" s="22">
        <v>2</v>
      </c>
      <c r="D22" s="5" t="s">
        <v>36</v>
      </c>
      <c r="E22" s="5" t="s">
        <v>106</v>
      </c>
      <c r="F22" s="5" t="s">
        <v>11</v>
      </c>
      <c r="G22" s="5" t="s">
        <v>107</v>
      </c>
      <c r="H22" s="5" t="s">
        <v>108</v>
      </c>
      <c r="I22" s="5" t="s">
        <v>23</v>
      </c>
      <c r="J22" s="11" t="s">
        <v>24</v>
      </c>
      <c r="K22" s="22" t="str">
        <f t="shared" si="0"/>
        <v>00</v>
      </c>
      <c r="L22" s="24"/>
    </row>
    <row r="23" spans="1:14" x14ac:dyDescent="0.25">
      <c r="A23" s="16"/>
      <c r="B23" s="5" t="s">
        <v>48</v>
      </c>
      <c r="C23" s="22">
        <v>2</v>
      </c>
      <c r="D23" s="5" t="s">
        <v>37</v>
      </c>
      <c r="E23" s="5" t="s">
        <v>109</v>
      </c>
      <c r="F23" s="5" t="s">
        <v>74</v>
      </c>
      <c r="G23" s="5" t="s">
        <v>110</v>
      </c>
      <c r="H23" s="5" t="s">
        <v>111</v>
      </c>
      <c r="I23" s="5" t="s">
        <v>23</v>
      </c>
      <c r="J23" s="11" t="s">
        <v>24</v>
      </c>
      <c r="K23" s="22" t="str">
        <f t="shared" si="0"/>
        <v>00</v>
      </c>
      <c r="L23" s="24"/>
    </row>
    <row r="24" spans="1:14" x14ac:dyDescent="0.25">
      <c r="A24" s="16"/>
      <c r="B24" s="5" t="s">
        <v>49</v>
      </c>
      <c r="C24" s="22">
        <v>2</v>
      </c>
      <c r="D24" s="5" t="s">
        <v>38</v>
      </c>
      <c r="E24" s="5" t="s">
        <v>112</v>
      </c>
      <c r="F24" s="5" t="s">
        <v>74</v>
      </c>
      <c r="G24" s="5" t="s">
        <v>113</v>
      </c>
      <c r="H24" s="5" t="s">
        <v>132</v>
      </c>
      <c r="I24" s="5" t="s">
        <v>24</v>
      </c>
      <c r="J24" s="11" t="s">
        <v>23</v>
      </c>
      <c r="K24" s="22" t="str">
        <f t="shared" si="0"/>
        <v>11</v>
      </c>
      <c r="L24" s="24"/>
    </row>
    <row r="25" spans="1:14" x14ac:dyDescent="0.25">
      <c r="A25" s="16"/>
      <c r="B25" s="5" t="s">
        <v>138</v>
      </c>
      <c r="C25" s="22">
        <v>2</v>
      </c>
      <c r="D25" s="5" t="s">
        <v>39</v>
      </c>
      <c r="E25" s="5" t="s">
        <v>114</v>
      </c>
      <c r="F25" s="5" t="s">
        <v>74</v>
      </c>
      <c r="G25" s="5" t="s">
        <v>115</v>
      </c>
      <c r="H25" s="5" t="s">
        <v>116</v>
      </c>
      <c r="I25" s="5" t="s">
        <v>23</v>
      </c>
      <c r="J25" s="11" t="s">
        <v>24</v>
      </c>
      <c r="K25" s="22" t="str">
        <f t="shared" si="0"/>
        <v>00</v>
      </c>
      <c r="L25" s="24"/>
    </row>
    <row r="26" spans="1:14" x14ac:dyDescent="0.25">
      <c r="A26" s="16"/>
      <c r="B26" s="5">
        <v>8</v>
      </c>
      <c r="C26" s="22">
        <v>1</v>
      </c>
      <c r="D26" s="5" t="s">
        <v>40</v>
      </c>
      <c r="E26" s="5" t="s">
        <v>117</v>
      </c>
      <c r="F26" s="5" t="s">
        <v>74</v>
      </c>
      <c r="G26" s="5" t="s">
        <v>118</v>
      </c>
      <c r="H26" s="5" t="s">
        <v>133</v>
      </c>
      <c r="I26" s="5" t="s">
        <v>24</v>
      </c>
      <c r="J26" s="10" t="s">
        <v>24</v>
      </c>
      <c r="K26" s="22" t="str">
        <f t="shared" si="0"/>
        <v>1</v>
      </c>
      <c r="L26" s="24"/>
    </row>
    <row r="27" spans="1:14" x14ac:dyDescent="0.25">
      <c r="A27" s="16"/>
      <c r="B27" s="5">
        <v>7</v>
      </c>
      <c r="C27" s="22">
        <v>1</v>
      </c>
      <c r="D27" s="5" t="s">
        <v>41</v>
      </c>
      <c r="E27" s="5" t="s">
        <v>63</v>
      </c>
      <c r="F27" s="5" t="s">
        <v>22</v>
      </c>
      <c r="G27" s="5" t="s">
        <v>119</v>
      </c>
      <c r="H27" s="5" t="s">
        <v>134</v>
      </c>
      <c r="I27" s="5" t="s">
        <v>24</v>
      </c>
      <c r="J27" s="11" t="s">
        <v>23</v>
      </c>
      <c r="K27" s="22" t="str">
        <f>REPT(IF(I27="Yes",1,0),C27)</f>
        <v>1</v>
      </c>
      <c r="L27" s="24"/>
    </row>
    <row r="28" spans="1:14" x14ac:dyDescent="0.25">
      <c r="A28" s="16"/>
      <c r="B28" s="5">
        <v>6</v>
      </c>
      <c r="C28" s="22">
        <v>1</v>
      </c>
      <c r="D28" s="5" t="s">
        <v>42</v>
      </c>
      <c r="E28" s="5" t="s">
        <v>68</v>
      </c>
      <c r="F28" s="5" t="s">
        <v>74</v>
      </c>
      <c r="G28" s="5" t="s">
        <v>120</v>
      </c>
      <c r="H28" s="5" t="s">
        <v>83</v>
      </c>
      <c r="I28" s="5" t="s">
        <v>23</v>
      </c>
      <c r="J28" s="11" t="s">
        <v>24</v>
      </c>
      <c r="K28" s="22" t="str">
        <f t="shared" si="0"/>
        <v>0</v>
      </c>
      <c r="L28" s="24"/>
    </row>
    <row r="29" spans="1:14" x14ac:dyDescent="0.25">
      <c r="A29" s="16"/>
      <c r="B29" s="5">
        <v>5</v>
      </c>
      <c r="C29" s="22">
        <v>1</v>
      </c>
      <c r="D29" s="5" t="s">
        <v>43</v>
      </c>
      <c r="E29" s="5" t="s">
        <v>62</v>
      </c>
      <c r="F29" s="5" t="s">
        <v>22</v>
      </c>
      <c r="G29" s="5" t="s">
        <v>121</v>
      </c>
      <c r="H29" s="5" t="s">
        <v>135</v>
      </c>
      <c r="I29" s="5" t="s">
        <v>24</v>
      </c>
      <c r="J29" s="10" t="s">
        <v>24</v>
      </c>
      <c r="K29" s="22" t="str">
        <f t="shared" si="0"/>
        <v>1</v>
      </c>
      <c r="L29" s="24"/>
    </row>
    <row r="30" spans="1:14" x14ac:dyDescent="0.25">
      <c r="A30" s="16"/>
      <c r="B30" s="5">
        <v>4</v>
      </c>
      <c r="C30" s="22">
        <v>1</v>
      </c>
      <c r="D30" s="5"/>
      <c r="E30" s="5"/>
      <c r="F30" s="5" t="s">
        <v>27</v>
      </c>
      <c r="G30" s="5" t="s">
        <v>71</v>
      </c>
      <c r="H30" s="5" t="s">
        <v>72</v>
      </c>
      <c r="I30" s="5" t="s">
        <v>139</v>
      </c>
      <c r="J30" s="9"/>
      <c r="K30" s="22" t="str">
        <f t="shared" si="0"/>
        <v>0</v>
      </c>
      <c r="L30" s="24"/>
    </row>
    <row r="31" spans="1:14" x14ac:dyDescent="0.25">
      <c r="A31" s="16"/>
      <c r="B31" s="5">
        <v>3</v>
      </c>
      <c r="C31" s="22">
        <v>1</v>
      </c>
      <c r="D31" s="5" t="s">
        <v>44</v>
      </c>
      <c r="E31" s="5" t="s">
        <v>61</v>
      </c>
      <c r="F31" s="5" t="s">
        <v>22</v>
      </c>
      <c r="G31" s="5" t="s">
        <v>122</v>
      </c>
      <c r="H31" s="5" t="s">
        <v>136</v>
      </c>
      <c r="I31" s="5" t="s">
        <v>24</v>
      </c>
      <c r="J31" s="11" t="s">
        <v>23</v>
      </c>
      <c r="K31" s="22" t="str">
        <f t="shared" si="0"/>
        <v>1</v>
      </c>
      <c r="L31" s="24"/>
    </row>
    <row r="32" spans="1:14" x14ac:dyDescent="0.25">
      <c r="A32" s="16"/>
      <c r="B32" s="5">
        <v>2</v>
      </c>
      <c r="C32" s="22">
        <v>1</v>
      </c>
      <c r="D32" s="5"/>
      <c r="E32" s="5"/>
      <c r="F32" s="5" t="s">
        <v>27</v>
      </c>
      <c r="G32" s="5" t="s">
        <v>71</v>
      </c>
      <c r="H32" s="5" t="s">
        <v>72</v>
      </c>
      <c r="I32" s="5" t="s">
        <v>139</v>
      </c>
      <c r="J32" s="9"/>
      <c r="K32" s="22" t="str">
        <f t="shared" si="0"/>
        <v>0</v>
      </c>
      <c r="L32" s="24"/>
    </row>
    <row r="33" spans="1:12" x14ac:dyDescent="0.25">
      <c r="A33" s="16"/>
      <c r="B33" s="5">
        <v>1</v>
      </c>
      <c r="C33" s="22">
        <v>1</v>
      </c>
      <c r="D33" s="5" t="s">
        <v>45</v>
      </c>
      <c r="E33" s="5" t="s">
        <v>60</v>
      </c>
      <c r="F33" s="5" t="s">
        <v>22</v>
      </c>
      <c r="G33" s="5" t="s">
        <v>123</v>
      </c>
      <c r="H33" s="5" t="s">
        <v>137</v>
      </c>
      <c r="I33" s="5" t="s">
        <v>24</v>
      </c>
      <c r="J33" s="10" t="s">
        <v>24</v>
      </c>
      <c r="K33" s="22" t="str">
        <f t="shared" si="0"/>
        <v>1</v>
      </c>
      <c r="L33" s="24"/>
    </row>
    <row r="34" spans="1:12" x14ac:dyDescent="0.25">
      <c r="A34" s="16"/>
      <c r="B34" s="5">
        <v>0</v>
      </c>
      <c r="C34" s="22">
        <v>1</v>
      </c>
      <c r="D34" s="5"/>
      <c r="E34" s="5"/>
      <c r="F34" s="5" t="s">
        <v>27</v>
      </c>
      <c r="G34" s="5" t="s">
        <v>71</v>
      </c>
      <c r="H34" s="5" t="s">
        <v>72</v>
      </c>
      <c r="I34" s="5" t="s">
        <v>139</v>
      </c>
      <c r="J34" s="9"/>
      <c r="K34" s="22" t="str">
        <f t="shared" si="0"/>
        <v>0</v>
      </c>
      <c r="L34" s="24"/>
    </row>
    <row r="35" spans="1:12" x14ac:dyDescent="0.25">
      <c r="A35" s="12"/>
    </row>
    <row r="36" spans="1:12" x14ac:dyDescent="0.25">
      <c r="A36" s="12"/>
    </row>
    <row r="37" spans="1:12" x14ac:dyDescent="0.25">
      <c r="A37" s="12"/>
    </row>
    <row r="38" spans="1:12" x14ac:dyDescent="0.25">
      <c r="A38" s="12"/>
    </row>
    <row r="39" spans="1:12" x14ac:dyDescent="0.25">
      <c r="A39" s="12"/>
    </row>
    <row r="40" spans="1:12" x14ac:dyDescent="0.25">
      <c r="A40" s="12"/>
    </row>
    <row r="41" spans="1:12" x14ac:dyDescent="0.25">
      <c r="A41" s="12"/>
    </row>
    <row r="42" spans="1:12" x14ac:dyDescent="0.25">
      <c r="A42" s="12"/>
    </row>
    <row r="43" spans="1:12" x14ac:dyDescent="0.25">
      <c r="A43" s="12"/>
    </row>
    <row r="44" spans="1:12" x14ac:dyDescent="0.25">
      <c r="A44" s="12"/>
    </row>
    <row r="45" spans="1:12" x14ac:dyDescent="0.25">
      <c r="A45" s="12"/>
    </row>
    <row r="46" spans="1:12" x14ac:dyDescent="0.25">
      <c r="A46" s="12"/>
    </row>
    <row r="47" spans="1:12" x14ac:dyDescent="0.25">
      <c r="A47" s="12"/>
    </row>
    <row r="48" spans="1:12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</sheetData>
  <mergeCells count="4">
    <mergeCell ref="A3:A11"/>
    <mergeCell ref="A12:A34"/>
    <mergeCell ref="L3:L11"/>
    <mergeCell ref="L12:L34"/>
  </mergeCells>
  <phoneticPr fontId="2" type="noConversion"/>
  <conditionalFormatting sqref="B3:I34">
    <cfRule type="expression" dxfId="2" priority="1">
      <formula>$I3="-"</formula>
    </cfRule>
    <cfRule type="expression" dxfId="1" priority="2">
      <formula>$I3="No"</formula>
    </cfRule>
    <cfRule type="expression" dxfId="0" priority="3">
      <formula>$I3="Yes"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B82E-650C-4B99-A3AD-EA297374FD57}">
  <dimension ref="B2:G17"/>
  <sheetViews>
    <sheetView topLeftCell="B1" zoomScale="115" zoomScaleNormal="115" workbookViewId="0">
      <selection activeCell="E28" sqref="E28"/>
    </sheetView>
  </sheetViews>
  <sheetFormatPr defaultRowHeight="14.25" x14ac:dyDescent="0.25"/>
  <cols>
    <col min="1" max="1" width="9.140625" style="6"/>
    <col min="2" max="2" width="13.28515625" style="6" bestFit="1" customWidth="1"/>
    <col min="3" max="3" width="11.7109375" style="6" bestFit="1" customWidth="1"/>
    <col min="4" max="4" width="48.28515625" style="6" bestFit="1" customWidth="1"/>
    <col min="5" max="5" width="11.7109375" style="6" bestFit="1" customWidth="1"/>
    <col min="6" max="6" width="38.28515625" style="6" bestFit="1" customWidth="1"/>
    <col min="7" max="7" width="13.140625" style="6" bestFit="1" customWidth="1"/>
    <col min="8" max="16384" width="9.140625" style="6"/>
  </cols>
  <sheetData>
    <row r="2" spans="2:7" ht="40.5" customHeight="1" x14ac:dyDescent="0.25">
      <c r="B2" s="5" t="s">
        <v>50</v>
      </c>
      <c r="C2" s="5" t="s">
        <v>51</v>
      </c>
      <c r="D2" s="5" t="s">
        <v>64</v>
      </c>
      <c r="E2" s="5" t="s">
        <v>10</v>
      </c>
      <c r="F2" s="5" t="s">
        <v>65</v>
      </c>
      <c r="G2" s="5" t="s">
        <v>67</v>
      </c>
    </row>
    <row r="3" spans="2:7" x14ac:dyDescent="0.25">
      <c r="B3" s="9" t="s">
        <v>154</v>
      </c>
      <c r="C3" s="9"/>
      <c r="D3" s="9"/>
      <c r="E3" s="9"/>
      <c r="F3" s="9"/>
      <c r="G3" s="9"/>
    </row>
    <row r="4" spans="2:7" x14ac:dyDescent="0.25">
      <c r="B4" s="11" t="s">
        <v>140</v>
      </c>
      <c r="C4" s="11" t="s">
        <v>155</v>
      </c>
      <c r="D4" s="11" t="s">
        <v>156</v>
      </c>
      <c r="E4" s="11" t="s">
        <v>74</v>
      </c>
      <c r="F4" s="11" t="s">
        <v>169</v>
      </c>
      <c r="G4" s="11" t="s">
        <v>23</v>
      </c>
    </row>
    <row r="5" spans="2:7" x14ac:dyDescent="0.25">
      <c r="B5" s="9" t="s">
        <v>141</v>
      </c>
      <c r="C5" s="9"/>
      <c r="D5" s="9"/>
      <c r="E5" s="9"/>
      <c r="F5" s="9"/>
      <c r="G5" s="9"/>
    </row>
    <row r="6" spans="2:7" x14ac:dyDescent="0.25">
      <c r="B6" s="10" t="s">
        <v>142</v>
      </c>
      <c r="C6" s="10" t="s">
        <v>157</v>
      </c>
      <c r="D6" s="10" t="s">
        <v>163</v>
      </c>
      <c r="E6" s="10" t="s">
        <v>74</v>
      </c>
      <c r="F6" s="10" t="s">
        <v>170</v>
      </c>
      <c r="G6" s="10" t="s">
        <v>24</v>
      </c>
    </row>
    <row r="7" spans="2:7" x14ac:dyDescent="0.25">
      <c r="B7" s="9" t="s">
        <v>143</v>
      </c>
      <c r="C7" s="9"/>
      <c r="D7" s="9"/>
      <c r="E7" s="9"/>
      <c r="F7" s="9"/>
      <c r="G7" s="9"/>
    </row>
    <row r="8" spans="2:7" x14ac:dyDescent="0.25">
      <c r="B8" s="10" t="s">
        <v>144</v>
      </c>
      <c r="C8" s="10" t="s">
        <v>158</v>
      </c>
      <c r="D8" s="10" t="s">
        <v>164</v>
      </c>
      <c r="E8" s="10" t="s">
        <v>74</v>
      </c>
      <c r="F8" s="10" t="s">
        <v>171</v>
      </c>
      <c r="G8" s="10" t="s">
        <v>24</v>
      </c>
    </row>
    <row r="9" spans="2:7" x14ac:dyDescent="0.25">
      <c r="B9" s="9" t="s">
        <v>145</v>
      </c>
      <c r="C9" s="9"/>
      <c r="D9" s="9"/>
      <c r="E9" s="9"/>
      <c r="F9" s="9"/>
      <c r="G9" s="9"/>
    </row>
    <row r="10" spans="2:7" x14ac:dyDescent="0.25">
      <c r="B10" s="10" t="s">
        <v>146</v>
      </c>
      <c r="C10" s="10" t="s">
        <v>159</v>
      </c>
      <c r="D10" s="10" t="s">
        <v>165</v>
      </c>
      <c r="E10" s="10" t="s">
        <v>74</v>
      </c>
      <c r="F10" s="10" t="s">
        <v>172</v>
      </c>
      <c r="G10" s="10" t="s">
        <v>24</v>
      </c>
    </row>
    <row r="11" spans="2:7" x14ac:dyDescent="0.25">
      <c r="B11" s="9" t="s">
        <v>147</v>
      </c>
      <c r="C11" s="9"/>
      <c r="D11" s="9"/>
      <c r="E11" s="9"/>
      <c r="F11" s="9"/>
      <c r="G11" s="9"/>
    </row>
    <row r="12" spans="2:7" x14ac:dyDescent="0.25">
      <c r="B12" s="10" t="s">
        <v>148</v>
      </c>
      <c r="C12" s="10" t="s">
        <v>160</v>
      </c>
      <c r="D12" s="10" t="s">
        <v>166</v>
      </c>
      <c r="E12" s="10" t="s">
        <v>74</v>
      </c>
      <c r="F12" s="10" t="s">
        <v>173</v>
      </c>
      <c r="G12" s="10" t="s">
        <v>24</v>
      </c>
    </row>
    <row r="13" spans="2:7" x14ac:dyDescent="0.25">
      <c r="B13" s="9" t="s">
        <v>149</v>
      </c>
      <c r="C13" s="9"/>
      <c r="D13" s="9"/>
      <c r="E13" s="9"/>
      <c r="F13" s="9"/>
      <c r="G13" s="9"/>
    </row>
    <row r="14" spans="2:7" x14ac:dyDescent="0.25">
      <c r="B14" s="10" t="s">
        <v>150</v>
      </c>
      <c r="C14" s="10" t="s">
        <v>161</v>
      </c>
      <c r="D14" s="10" t="s">
        <v>167</v>
      </c>
      <c r="E14" s="10" t="s">
        <v>74</v>
      </c>
      <c r="F14" s="10" t="s">
        <v>174</v>
      </c>
      <c r="G14" s="10" t="s">
        <v>24</v>
      </c>
    </row>
    <row r="15" spans="2:7" x14ac:dyDescent="0.25">
      <c r="B15" s="9" t="s">
        <v>151</v>
      </c>
      <c r="C15" s="9"/>
      <c r="D15" s="9"/>
      <c r="E15" s="9"/>
      <c r="F15" s="9"/>
      <c r="G15" s="9"/>
    </row>
    <row r="16" spans="2:7" x14ac:dyDescent="0.25">
      <c r="B16" s="10" t="s">
        <v>152</v>
      </c>
      <c r="C16" s="10" t="s">
        <v>162</v>
      </c>
      <c r="D16" s="10" t="s">
        <v>168</v>
      </c>
      <c r="E16" s="10" t="s">
        <v>74</v>
      </c>
      <c r="F16" s="10" t="s">
        <v>175</v>
      </c>
      <c r="G16" s="10" t="s">
        <v>24</v>
      </c>
    </row>
    <row r="17" spans="2:7" x14ac:dyDescent="0.25">
      <c r="B17" s="9" t="s">
        <v>153</v>
      </c>
      <c r="C17" s="9"/>
      <c r="D17" s="9"/>
      <c r="E17" s="9"/>
      <c r="F17" s="9"/>
      <c r="G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1ED3-44A7-49E9-A961-E022D71E5837}">
  <dimension ref="A6:L30"/>
  <sheetViews>
    <sheetView zoomScaleNormal="100" workbookViewId="0">
      <selection activeCell="E28" sqref="E28"/>
    </sheetView>
  </sheetViews>
  <sheetFormatPr defaultRowHeight="14.25" x14ac:dyDescent="0.25"/>
  <cols>
    <col min="1" max="2" width="9.140625" style="2"/>
    <col min="3" max="3" width="33.42578125" style="2" customWidth="1"/>
    <col min="4" max="4" width="13.140625" style="2" bestFit="1" customWidth="1"/>
    <col min="5" max="5" width="9.85546875" style="2" bestFit="1" customWidth="1"/>
    <col min="6" max="6" width="9.140625" style="2"/>
    <col min="7" max="7" width="8.28515625" style="2" customWidth="1"/>
    <col min="8" max="8" width="18.5703125" style="2" customWidth="1"/>
    <col min="9" max="9" width="7.7109375" style="2" customWidth="1"/>
    <col min="10" max="10" width="29.140625" style="2" bestFit="1" customWidth="1"/>
    <col min="11" max="11" width="13.140625" style="2" bestFit="1" customWidth="1"/>
    <col min="12" max="12" width="9.85546875" style="2" bestFit="1" customWidth="1"/>
    <col min="13" max="16384" width="9.140625" style="2"/>
  </cols>
  <sheetData>
    <row r="6" spans="1:12" ht="42.75" customHeight="1" x14ac:dyDescent="0.25">
      <c r="B6" s="1" t="s">
        <v>50</v>
      </c>
      <c r="C6" s="1" t="s">
        <v>51</v>
      </c>
      <c r="D6" s="1" t="s">
        <v>209</v>
      </c>
      <c r="E6" s="1" t="s">
        <v>208</v>
      </c>
      <c r="H6" s="8"/>
      <c r="I6" s="1" t="s">
        <v>50</v>
      </c>
      <c r="J6" s="1" t="s">
        <v>51</v>
      </c>
      <c r="K6" s="1" t="s">
        <v>209</v>
      </c>
      <c r="L6" s="1" t="s">
        <v>208</v>
      </c>
    </row>
    <row r="7" spans="1:12" x14ac:dyDescent="0.25">
      <c r="A7" s="17" t="s">
        <v>18</v>
      </c>
      <c r="B7" s="7" t="s">
        <v>177</v>
      </c>
      <c r="C7" s="7" t="s">
        <v>179</v>
      </c>
      <c r="D7" s="7">
        <v>0</v>
      </c>
      <c r="E7" s="7" t="s">
        <v>23</v>
      </c>
      <c r="H7" s="18" t="s">
        <v>207</v>
      </c>
      <c r="I7" s="7" t="s">
        <v>177</v>
      </c>
      <c r="J7" s="7" t="s">
        <v>179</v>
      </c>
      <c r="K7" s="7">
        <v>0</v>
      </c>
      <c r="L7" s="7" t="s">
        <v>23</v>
      </c>
    </row>
    <row r="8" spans="1:12" x14ac:dyDescent="0.25">
      <c r="A8" s="17"/>
      <c r="B8" s="7" t="s">
        <v>176</v>
      </c>
      <c r="C8" s="7" t="s">
        <v>178</v>
      </c>
      <c r="D8" s="7">
        <v>0</v>
      </c>
      <c r="E8" s="7" t="s">
        <v>23</v>
      </c>
      <c r="H8" s="19"/>
      <c r="I8" s="7" t="s">
        <v>187</v>
      </c>
      <c r="J8" s="7" t="s">
        <v>178</v>
      </c>
      <c r="K8" s="7">
        <v>0</v>
      </c>
      <c r="L8" s="7" t="s">
        <v>23</v>
      </c>
    </row>
    <row r="9" spans="1:12" x14ac:dyDescent="0.25">
      <c r="A9" s="17"/>
      <c r="B9" s="1">
        <v>13</v>
      </c>
      <c r="C9" s="1" t="s">
        <v>186</v>
      </c>
      <c r="D9" s="1">
        <v>0</v>
      </c>
      <c r="E9" s="1"/>
      <c r="H9" s="18" t="s">
        <v>19</v>
      </c>
      <c r="I9" s="7" t="s">
        <v>188</v>
      </c>
      <c r="J9" s="7" t="s">
        <v>179</v>
      </c>
      <c r="K9" s="7">
        <v>0</v>
      </c>
      <c r="L9" s="7" t="s">
        <v>23</v>
      </c>
    </row>
    <row r="10" spans="1:12" x14ac:dyDescent="0.25">
      <c r="A10" s="17"/>
      <c r="B10" s="7">
        <v>12</v>
      </c>
      <c r="C10" s="7" t="s">
        <v>178</v>
      </c>
      <c r="D10" s="7">
        <v>0</v>
      </c>
      <c r="E10" s="7" t="s">
        <v>23</v>
      </c>
      <c r="H10" s="20"/>
      <c r="I10" s="7" t="s">
        <v>189</v>
      </c>
      <c r="J10" s="7" t="s">
        <v>178</v>
      </c>
      <c r="K10" s="7">
        <v>0</v>
      </c>
      <c r="L10" s="7" t="s">
        <v>23</v>
      </c>
    </row>
    <row r="11" spans="1:12" x14ac:dyDescent="0.25">
      <c r="A11" s="17"/>
      <c r="B11" s="1">
        <v>11</v>
      </c>
      <c r="C11" s="1" t="s">
        <v>185</v>
      </c>
      <c r="D11" s="1">
        <v>0</v>
      </c>
      <c r="E11" s="1"/>
      <c r="H11" s="20"/>
      <c r="I11" s="1">
        <v>19</v>
      </c>
      <c r="J11" s="1" t="s">
        <v>190</v>
      </c>
      <c r="K11" s="1">
        <v>0</v>
      </c>
      <c r="L11" s="1" t="s">
        <v>23</v>
      </c>
    </row>
    <row r="12" spans="1:12" x14ac:dyDescent="0.25">
      <c r="A12" s="17"/>
      <c r="B12" s="7">
        <v>10</v>
      </c>
      <c r="C12" s="7" t="s">
        <v>178</v>
      </c>
      <c r="D12" s="7">
        <v>0</v>
      </c>
      <c r="E12" s="7" t="s">
        <v>23</v>
      </c>
      <c r="H12" s="20"/>
      <c r="I12" s="1">
        <v>18</v>
      </c>
      <c r="J12" s="1" t="s">
        <v>191</v>
      </c>
      <c r="K12" s="1">
        <v>0</v>
      </c>
      <c r="L12" s="1"/>
    </row>
    <row r="13" spans="1:12" x14ac:dyDescent="0.25">
      <c r="A13" s="17"/>
      <c r="B13" s="1">
        <v>9</v>
      </c>
      <c r="C13" s="1" t="s">
        <v>184</v>
      </c>
      <c r="D13" s="1">
        <v>0</v>
      </c>
      <c r="E13" s="1"/>
      <c r="H13" s="20"/>
      <c r="I13" s="7">
        <v>17</v>
      </c>
      <c r="J13" s="7" t="s">
        <v>178</v>
      </c>
      <c r="K13" s="7">
        <v>0</v>
      </c>
      <c r="L13" s="7"/>
    </row>
    <row r="14" spans="1:12" x14ac:dyDescent="0.25">
      <c r="A14" s="17"/>
      <c r="B14" s="7">
        <v>8</v>
      </c>
      <c r="C14" s="7" t="s">
        <v>178</v>
      </c>
      <c r="D14" s="7">
        <v>0</v>
      </c>
      <c r="E14" s="7" t="s">
        <v>23</v>
      </c>
      <c r="H14" s="20"/>
      <c r="I14" s="1">
        <v>16</v>
      </c>
      <c r="J14" s="1" t="s">
        <v>192</v>
      </c>
      <c r="K14" s="1">
        <v>0</v>
      </c>
      <c r="L14" s="1"/>
    </row>
    <row r="15" spans="1:12" x14ac:dyDescent="0.25">
      <c r="A15" s="17"/>
      <c r="B15" s="1">
        <v>7</v>
      </c>
      <c r="C15" s="1" t="s">
        <v>183</v>
      </c>
      <c r="D15" s="1">
        <v>0</v>
      </c>
      <c r="E15" s="1"/>
      <c r="H15" s="20"/>
      <c r="I15" s="1">
        <v>15</v>
      </c>
      <c r="J15" s="1" t="s">
        <v>193</v>
      </c>
      <c r="K15" s="1">
        <v>0</v>
      </c>
      <c r="L15" s="1"/>
    </row>
    <row r="16" spans="1:12" x14ac:dyDescent="0.25">
      <c r="A16" s="17"/>
      <c r="B16" s="7">
        <v>6</v>
      </c>
      <c r="C16" s="7" t="s">
        <v>178</v>
      </c>
      <c r="D16" s="7">
        <v>0</v>
      </c>
      <c r="E16" s="7" t="s">
        <v>23</v>
      </c>
      <c r="H16" s="20"/>
      <c r="I16" s="7">
        <v>14</v>
      </c>
      <c r="J16" s="7" t="s">
        <v>178</v>
      </c>
      <c r="K16" s="7">
        <v>0</v>
      </c>
      <c r="L16" s="7"/>
    </row>
    <row r="17" spans="1:12" x14ac:dyDescent="0.25">
      <c r="A17" s="17"/>
      <c r="B17" s="1">
        <v>5</v>
      </c>
      <c r="C17" s="1" t="s">
        <v>182</v>
      </c>
      <c r="D17" s="1">
        <v>0</v>
      </c>
      <c r="E17" s="1"/>
      <c r="H17" s="20"/>
      <c r="I17" s="1">
        <v>13</v>
      </c>
      <c r="J17" s="1" t="s">
        <v>194</v>
      </c>
      <c r="K17" s="1">
        <v>0</v>
      </c>
      <c r="L17" s="1"/>
    </row>
    <row r="18" spans="1:12" x14ac:dyDescent="0.25">
      <c r="A18" s="17"/>
      <c r="B18" s="7">
        <v>4</v>
      </c>
      <c r="C18" s="7" t="s">
        <v>178</v>
      </c>
      <c r="D18" s="7">
        <v>0</v>
      </c>
      <c r="E18" s="7" t="s">
        <v>23</v>
      </c>
      <c r="H18" s="20"/>
      <c r="I18" s="1">
        <v>12</v>
      </c>
      <c r="J18" s="1" t="s">
        <v>195</v>
      </c>
      <c r="K18" s="1">
        <v>0</v>
      </c>
      <c r="L18" s="1"/>
    </row>
    <row r="19" spans="1:12" x14ac:dyDescent="0.25">
      <c r="A19" s="17"/>
      <c r="B19" s="1">
        <v>3</v>
      </c>
      <c r="C19" s="1" t="s">
        <v>181</v>
      </c>
      <c r="D19" s="1">
        <v>0</v>
      </c>
      <c r="E19" s="1"/>
      <c r="H19" s="20"/>
      <c r="I19" s="1">
        <v>11</v>
      </c>
      <c r="J19" s="1" t="s">
        <v>196</v>
      </c>
      <c r="K19" s="1">
        <v>0</v>
      </c>
      <c r="L19" s="1"/>
    </row>
    <row r="20" spans="1:12" x14ac:dyDescent="0.25">
      <c r="A20" s="17"/>
      <c r="B20" s="7">
        <v>2</v>
      </c>
      <c r="C20" s="7" t="s">
        <v>178</v>
      </c>
      <c r="D20" s="7">
        <v>0</v>
      </c>
      <c r="E20" s="7" t="s">
        <v>23</v>
      </c>
      <c r="H20" s="20"/>
      <c r="I20" s="7">
        <v>10</v>
      </c>
      <c r="J20" s="7" t="s">
        <v>178</v>
      </c>
      <c r="K20" s="7">
        <v>0</v>
      </c>
      <c r="L20" s="7"/>
    </row>
    <row r="21" spans="1:12" x14ac:dyDescent="0.25">
      <c r="A21" s="17"/>
      <c r="B21" s="1">
        <v>1</v>
      </c>
      <c r="C21" s="1" t="s">
        <v>180</v>
      </c>
      <c r="D21" s="1">
        <v>0</v>
      </c>
      <c r="E21" s="1"/>
      <c r="H21" s="20"/>
      <c r="I21" s="1">
        <v>9</v>
      </c>
      <c r="J21" s="1" t="s">
        <v>197</v>
      </c>
      <c r="K21" s="1">
        <v>0</v>
      </c>
      <c r="L21" s="1"/>
    </row>
    <row r="22" spans="1:12" x14ac:dyDescent="0.25">
      <c r="A22" s="17"/>
      <c r="B22" s="7">
        <v>0</v>
      </c>
      <c r="C22" s="7" t="s">
        <v>178</v>
      </c>
      <c r="D22" s="7">
        <v>0</v>
      </c>
      <c r="E22" s="7" t="s">
        <v>23</v>
      </c>
      <c r="H22" s="20"/>
      <c r="I22" s="1">
        <v>8</v>
      </c>
      <c r="J22" s="1" t="s">
        <v>198</v>
      </c>
      <c r="K22" s="1">
        <v>0</v>
      </c>
      <c r="L22" s="1"/>
    </row>
    <row r="23" spans="1:12" x14ac:dyDescent="0.25">
      <c r="H23" s="20"/>
      <c r="I23" s="1">
        <v>7</v>
      </c>
      <c r="J23" s="1" t="s">
        <v>199</v>
      </c>
      <c r="K23" s="1">
        <v>0</v>
      </c>
      <c r="L23" s="1"/>
    </row>
    <row r="24" spans="1:12" x14ac:dyDescent="0.25">
      <c r="H24" s="20"/>
      <c r="I24" s="1">
        <v>6</v>
      </c>
      <c r="J24" s="1" t="s">
        <v>206</v>
      </c>
      <c r="K24" s="1">
        <v>0</v>
      </c>
      <c r="L24" s="1"/>
    </row>
    <row r="25" spans="1:12" x14ac:dyDescent="0.25">
      <c r="H25" s="20"/>
      <c r="I25" s="1">
        <v>5</v>
      </c>
      <c r="J25" s="1" t="s">
        <v>205</v>
      </c>
      <c r="K25" s="1">
        <v>0</v>
      </c>
      <c r="L25" s="1"/>
    </row>
    <row r="26" spans="1:12" x14ac:dyDescent="0.25">
      <c r="H26" s="20"/>
      <c r="I26" s="1">
        <v>4</v>
      </c>
      <c r="J26" s="1" t="s">
        <v>204</v>
      </c>
      <c r="K26" s="1">
        <v>0</v>
      </c>
      <c r="L26" s="1"/>
    </row>
    <row r="27" spans="1:12" x14ac:dyDescent="0.25">
      <c r="H27" s="20"/>
      <c r="I27" s="1">
        <v>3</v>
      </c>
      <c r="J27" s="1" t="s">
        <v>203</v>
      </c>
      <c r="K27" s="1">
        <v>0</v>
      </c>
      <c r="L27" s="1"/>
    </row>
    <row r="28" spans="1:12" x14ac:dyDescent="0.25">
      <c r="H28" s="20"/>
      <c r="I28" s="1">
        <v>2</v>
      </c>
      <c r="J28" s="1" t="s">
        <v>202</v>
      </c>
      <c r="K28" s="1">
        <v>0</v>
      </c>
      <c r="L28" s="1"/>
    </row>
    <row r="29" spans="1:12" x14ac:dyDescent="0.25">
      <c r="H29" s="20"/>
      <c r="I29" s="1">
        <v>1</v>
      </c>
      <c r="J29" s="1" t="s">
        <v>201</v>
      </c>
      <c r="K29" s="1">
        <v>0</v>
      </c>
      <c r="L29" s="1"/>
    </row>
    <row r="30" spans="1:12" x14ac:dyDescent="0.25">
      <c r="H30" s="19"/>
      <c r="I30" s="1">
        <v>0</v>
      </c>
      <c r="J30" s="1" t="s">
        <v>200</v>
      </c>
      <c r="K30" s="1">
        <v>0</v>
      </c>
      <c r="L30" s="1"/>
    </row>
  </sheetData>
  <mergeCells count="3">
    <mergeCell ref="A7:A22"/>
    <mergeCell ref="H7:H8"/>
    <mergeCell ref="H9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CSR Table</vt:lpstr>
      <vt:lpstr>mstatus mstatush sstatus</vt:lpstr>
      <vt:lpstr>mip mie</vt:lpstr>
      <vt:lpstr>mideleg medeleg medelegh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Dinç</dc:creator>
  <cp:lastModifiedBy>Hüseyin Dinç</cp:lastModifiedBy>
  <dcterms:created xsi:type="dcterms:W3CDTF">2026-09-15T11:09:51Z</dcterms:created>
  <dcterms:modified xsi:type="dcterms:W3CDTF">2026-09-28T14:10:29Z</dcterms:modified>
</cp:coreProperties>
</file>